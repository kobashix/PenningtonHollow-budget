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pe\Desktop\Home Building Plans\"/>
    </mc:Choice>
  </mc:AlternateContent>
  <xr:revisionPtr revIDLastSave="0" documentId="13_ncr:1_{296DFA4E-EF7E-4071-9A65-CC8FAD4EF7F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1" l="1"/>
  <c r="D45" i="1"/>
  <c r="D44" i="1"/>
</calcChain>
</file>

<file path=xl/sharedStrings.xml><?xml version="1.0" encoding="utf-8"?>
<sst xmlns="http://schemas.openxmlformats.org/spreadsheetml/2006/main" count="129" uniqueCount="57">
  <si>
    <t>Process #</t>
  </si>
  <si>
    <t>ACTION</t>
  </si>
  <si>
    <t>TARGET DATE</t>
  </si>
  <si>
    <t>ESTIMATED COST</t>
  </si>
  <si>
    <t>COMPLETED (Y/N)</t>
  </si>
  <si>
    <t>PHASE</t>
  </si>
  <si>
    <t>Purchase property</t>
  </si>
  <si>
    <t>Confirm 911 address</t>
  </si>
  <si>
    <t>Move 12×32 shed onto gravel/pier base</t>
  </si>
  <si>
    <t>Connect electric (meter, subpanel, grounding)</t>
  </si>
  <si>
    <t>Connect water (tie into existing line, shutoff, insulation)</t>
  </si>
  <si>
    <t>Work with septic installer (soil test, design, permit)</t>
  </si>
  <si>
    <t>Make shed livable with basics (insulation, HVAC, kitchenette, security)</t>
  </si>
  <si>
    <t>Finalize building plans with architect or draftsperson</t>
  </si>
  <si>
    <t>Level ground for construction pad/house site</t>
  </si>
  <si>
    <t>Schedule soil compaction, drainage planning, driveway access for concrete trucks</t>
  </si>
  <si>
    <t>Place pier moldings / forms (if pier system)</t>
  </si>
  <si>
    <t>Order concrete + pump truck for piers/footings</t>
  </si>
  <si>
    <t>Inspection (foundation stage)</t>
  </si>
  <si>
    <t>Install beams / girders across piers</t>
  </si>
  <si>
    <t>Run below-floor utility sleeves / conduit</t>
  </si>
  <si>
    <t>Install subflooring / floor deck</t>
  </si>
  <si>
    <t>Frame walls (studs, plates, headers)</t>
  </si>
  <si>
    <t>Install roof joists / trusses</t>
  </si>
  <si>
    <t>Install roof decking / planks</t>
  </si>
  <si>
    <t>Sheath walls &amp; roof (plywood/OSB)</t>
  </si>
  <si>
    <t>Apply housewrap &amp; roofing underlayment</t>
  </si>
  <si>
    <t>Set windows &amp; exterior doors</t>
  </si>
  <si>
    <t>Dry-in roof (metal/shingles)</t>
  </si>
  <si>
    <t>Rough plumbing (supply, drain/vent)</t>
  </si>
  <si>
    <t>Rough electrical (boxes, circuits, panel tie-in)</t>
  </si>
  <si>
    <t>Rough HVAC (ducts or mini-split runs)</t>
  </si>
  <si>
    <t>Inspection (framing + MEP rough)</t>
  </si>
  <si>
    <t>Insulation (walls, ceiling, floor if crawlspace)</t>
  </si>
  <si>
    <t>Drywall (hang, tape, finish)</t>
  </si>
  <si>
    <t>Exterior siding &amp; trim, caulking, paint</t>
  </si>
  <si>
    <t>Install interior doors, trim, cabinets</t>
  </si>
  <si>
    <t>Flooring (tile, LVP, carpet)</t>
  </si>
  <si>
    <t>Final plumbing fixtures &amp; water heater</t>
  </si>
  <si>
    <t>Final electrical fixtures, devices, breakers</t>
  </si>
  <si>
    <t>HVAC install / test</t>
  </si>
  <si>
    <t>Painting &amp; touch-ups</t>
  </si>
  <si>
    <t>Final inspection &amp; certificate of occupancy</t>
  </si>
  <si>
    <t>Grade lot for drainage, install gutters/downspouts</t>
  </si>
  <si>
    <t>Seed, gravel, or fence for site finishing</t>
  </si>
  <si>
    <t>N</t>
  </si>
  <si>
    <t>Property/Shed</t>
  </si>
  <si>
    <t>Planning/Foundation</t>
  </si>
  <si>
    <t>Framing/Shell</t>
  </si>
  <si>
    <t>Rough-ins</t>
  </si>
  <si>
    <t>Close-in</t>
  </si>
  <si>
    <t>Finishes</t>
  </si>
  <si>
    <t>Finalization</t>
  </si>
  <si>
    <t>Estimated cost</t>
  </si>
  <si>
    <t>Contigency</t>
  </si>
  <si>
    <t>Budgeted cost:</t>
  </si>
  <si>
    <t>Move into house &amp; convert shed into other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</si>
</sst>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7" formatCode="mmmm\ yyyy"/>
    <numFmt numFmtId="170" formatCode="_(* #,##0_);_(* \(#,##0\);_(* &quot;-&quot;??_);_(@_)"/>
    <numFmt numFmtId="172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70" fontId="0" fillId="0" borderId="0" xfId="1" applyNumberFormat="1" applyFont="1"/>
    <xf numFmtId="0" fontId="0" fillId="0" borderId="2" xfId="0" applyBorder="1"/>
    <xf numFmtId="0" fontId="0" fillId="0" borderId="3" xfId="0" applyBorder="1"/>
    <xf numFmtId="167" fontId="0" fillId="0" borderId="3" xfId="0" applyNumberFormat="1" applyBorder="1"/>
    <xf numFmtId="170" fontId="0" fillId="0" borderId="3" xfId="1" applyNumberFormat="1" applyFont="1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167" fontId="0" fillId="0" borderId="0" xfId="0" applyNumberFormat="1" applyBorder="1"/>
    <xf numFmtId="170" fontId="0" fillId="0" borderId="0" xfId="1" applyNumberFormat="1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7" fontId="0" fillId="0" borderId="8" xfId="0" applyNumberFormat="1" applyBorder="1"/>
    <xf numFmtId="170" fontId="0" fillId="0" borderId="8" xfId="1" applyNumberFormat="1" applyFont="1" applyBorder="1"/>
    <xf numFmtId="0" fontId="0" fillId="0" borderId="9" xfId="0" applyBorder="1"/>
    <xf numFmtId="170" fontId="0" fillId="0" borderId="0" xfId="0" applyNumberFormat="1"/>
    <xf numFmtId="172" fontId="1" fillId="0" borderId="3" xfId="2" applyNumberFormat="1" applyFont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7"/>
  <sheetViews>
    <sheetView tabSelected="1" workbookViewId="0">
      <selection activeCell="F7" sqref="F7"/>
    </sheetView>
  </sheetViews>
  <sheetFormatPr defaultRowHeight="15" x14ac:dyDescent="0.25"/>
  <cols>
    <col min="2" max="2" width="74.42578125" bestFit="1" customWidth="1"/>
    <col min="3" max="3" width="18.28515625" bestFit="1" customWidth="1"/>
    <col min="4" max="4" width="16.140625" bestFit="1" customWidth="1"/>
    <col min="5" max="5" width="17.28515625" bestFit="1" customWidth="1"/>
    <col min="6" max="6" width="20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>
        <v>1</v>
      </c>
      <c r="B2" s="4" t="s">
        <v>6</v>
      </c>
      <c r="C2" s="5">
        <v>45933</v>
      </c>
      <c r="D2" s="6">
        <v>2500</v>
      </c>
      <c r="E2" s="4" t="s">
        <v>45</v>
      </c>
      <c r="F2" s="7" t="s">
        <v>46</v>
      </c>
    </row>
    <row r="3" spans="1:6" x14ac:dyDescent="0.25">
      <c r="A3" s="8">
        <v>2</v>
      </c>
      <c r="B3" s="9" t="s">
        <v>7</v>
      </c>
      <c r="C3" s="10">
        <v>45936</v>
      </c>
      <c r="D3" s="11">
        <v>0</v>
      </c>
      <c r="E3" s="9" t="s">
        <v>45</v>
      </c>
      <c r="F3" s="12" t="s">
        <v>46</v>
      </c>
    </row>
    <row r="4" spans="1:6" x14ac:dyDescent="0.25">
      <c r="A4" s="8">
        <v>3</v>
      </c>
      <c r="B4" s="9" t="s">
        <v>8</v>
      </c>
      <c r="C4" s="10">
        <v>45962</v>
      </c>
      <c r="D4" s="11">
        <v>700</v>
      </c>
      <c r="E4" s="9" t="s">
        <v>45</v>
      </c>
      <c r="F4" s="12" t="s">
        <v>46</v>
      </c>
    </row>
    <row r="5" spans="1:6" x14ac:dyDescent="0.25">
      <c r="A5" s="8">
        <v>4</v>
      </c>
      <c r="B5" s="9" t="s">
        <v>9</v>
      </c>
      <c r="C5" s="10">
        <v>45962</v>
      </c>
      <c r="D5" s="11">
        <v>2000</v>
      </c>
      <c r="E5" s="9" t="s">
        <v>45</v>
      </c>
      <c r="F5" s="12" t="s">
        <v>46</v>
      </c>
    </row>
    <row r="6" spans="1:6" x14ac:dyDescent="0.25">
      <c r="A6" s="8">
        <v>5</v>
      </c>
      <c r="B6" s="9" t="s">
        <v>10</v>
      </c>
      <c r="C6" s="10">
        <v>45991</v>
      </c>
      <c r="D6" s="11">
        <v>1500</v>
      </c>
      <c r="E6" s="9" t="s">
        <v>45</v>
      </c>
      <c r="F6" s="12" t="s">
        <v>46</v>
      </c>
    </row>
    <row r="7" spans="1:6" x14ac:dyDescent="0.25">
      <c r="A7" s="8">
        <v>6</v>
      </c>
      <c r="B7" s="9" t="s">
        <v>11</v>
      </c>
      <c r="C7" s="10">
        <v>46022</v>
      </c>
      <c r="D7" s="11">
        <v>7000</v>
      </c>
      <c r="E7" s="9" t="s">
        <v>45</v>
      </c>
      <c r="F7" s="12" t="s">
        <v>46</v>
      </c>
    </row>
    <row r="8" spans="1:6" x14ac:dyDescent="0.25">
      <c r="A8" s="13">
        <v>7</v>
      </c>
      <c r="B8" s="14" t="s">
        <v>12</v>
      </c>
      <c r="C8" s="15">
        <v>46022</v>
      </c>
      <c r="D8" s="16">
        <v>5000</v>
      </c>
      <c r="E8" s="14" t="s">
        <v>45</v>
      </c>
      <c r="F8" s="17" t="s">
        <v>46</v>
      </c>
    </row>
    <row r="9" spans="1:6" x14ac:dyDescent="0.25">
      <c r="A9" s="3">
        <v>8</v>
      </c>
      <c r="B9" s="4" t="s">
        <v>13</v>
      </c>
      <c r="C9" s="5">
        <v>46022</v>
      </c>
      <c r="D9" s="6">
        <v>3000</v>
      </c>
      <c r="E9" s="4" t="s">
        <v>45</v>
      </c>
      <c r="F9" s="7" t="s">
        <v>47</v>
      </c>
    </row>
    <row r="10" spans="1:6" x14ac:dyDescent="0.25">
      <c r="A10" s="8">
        <v>9</v>
      </c>
      <c r="B10" s="9" t="s">
        <v>14</v>
      </c>
      <c r="C10" s="10">
        <v>46053</v>
      </c>
      <c r="D10" s="11">
        <v>4000</v>
      </c>
      <c r="E10" s="9" t="s">
        <v>45</v>
      </c>
      <c r="F10" s="12" t="s">
        <v>47</v>
      </c>
    </row>
    <row r="11" spans="1:6" x14ac:dyDescent="0.25">
      <c r="A11" s="8">
        <v>10</v>
      </c>
      <c r="B11" s="9" t="s">
        <v>15</v>
      </c>
      <c r="C11" s="10">
        <v>46053</v>
      </c>
      <c r="D11" s="11">
        <v>3500</v>
      </c>
      <c r="E11" s="9" t="s">
        <v>45</v>
      </c>
      <c r="F11" s="12" t="s">
        <v>47</v>
      </c>
    </row>
    <row r="12" spans="1:6" x14ac:dyDescent="0.25">
      <c r="A12" s="8">
        <v>12</v>
      </c>
      <c r="B12" s="9" t="s">
        <v>16</v>
      </c>
      <c r="C12" s="10">
        <v>46081</v>
      </c>
      <c r="D12" s="11">
        <v>3000</v>
      </c>
      <c r="E12" s="9" t="s">
        <v>45</v>
      </c>
      <c r="F12" s="12" t="s">
        <v>47</v>
      </c>
    </row>
    <row r="13" spans="1:6" x14ac:dyDescent="0.25">
      <c r="A13" s="8">
        <v>13</v>
      </c>
      <c r="B13" s="9" t="s">
        <v>17</v>
      </c>
      <c r="C13" s="10">
        <v>46111</v>
      </c>
      <c r="D13" s="11">
        <v>5000</v>
      </c>
      <c r="E13" s="9" t="s">
        <v>45</v>
      </c>
      <c r="F13" s="12" t="s">
        <v>47</v>
      </c>
    </row>
    <row r="14" spans="1:6" x14ac:dyDescent="0.25">
      <c r="A14" s="8">
        <v>14</v>
      </c>
      <c r="B14" s="9" t="s">
        <v>18</v>
      </c>
      <c r="C14" s="10">
        <v>46111</v>
      </c>
      <c r="D14" s="11">
        <v>500</v>
      </c>
      <c r="E14" s="9" t="s">
        <v>45</v>
      </c>
      <c r="F14" s="12" t="s">
        <v>47</v>
      </c>
    </row>
    <row r="15" spans="1:6" x14ac:dyDescent="0.25">
      <c r="A15" s="8">
        <v>15</v>
      </c>
      <c r="B15" s="9" t="s">
        <v>19</v>
      </c>
      <c r="C15" s="10">
        <v>46142</v>
      </c>
      <c r="D15" s="11">
        <v>8000</v>
      </c>
      <c r="E15" s="9" t="s">
        <v>45</v>
      </c>
      <c r="F15" s="12" t="s">
        <v>47</v>
      </c>
    </row>
    <row r="16" spans="1:6" x14ac:dyDescent="0.25">
      <c r="A16" s="8">
        <v>16</v>
      </c>
      <c r="B16" s="9" t="s">
        <v>20</v>
      </c>
      <c r="C16" s="10">
        <v>46142</v>
      </c>
      <c r="D16" s="11">
        <v>2000</v>
      </c>
      <c r="E16" s="9" t="s">
        <v>45</v>
      </c>
      <c r="F16" s="12" t="s">
        <v>47</v>
      </c>
    </row>
    <row r="17" spans="1:6" x14ac:dyDescent="0.25">
      <c r="A17" s="13">
        <v>17</v>
      </c>
      <c r="B17" s="14" t="s">
        <v>21</v>
      </c>
      <c r="C17" s="15">
        <v>46172</v>
      </c>
      <c r="D17" s="16">
        <v>7000</v>
      </c>
      <c r="E17" s="14" t="s">
        <v>45</v>
      </c>
      <c r="F17" s="17" t="s">
        <v>47</v>
      </c>
    </row>
    <row r="18" spans="1:6" x14ac:dyDescent="0.25">
      <c r="A18" s="3">
        <v>18</v>
      </c>
      <c r="B18" s="4" t="s">
        <v>22</v>
      </c>
      <c r="C18" s="5">
        <v>46203</v>
      </c>
      <c r="D18" s="6">
        <v>20000</v>
      </c>
      <c r="E18" s="4" t="s">
        <v>45</v>
      </c>
      <c r="F18" s="7" t="s">
        <v>48</v>
      </c>
    </row>
    <row r="19" spans="1:6" x14ac:dyDescent="0.25">
      <c r="A19" s="8">
        <v>19</v>
      </c>
      <c r="B19" s="9" t="s">
        <v>23</v>
      </c>
      <c r="C19" s="10">
        <v>46233</v>
      </c>
      <c r="D19" s="11">
        <v>12000</v>
      </c>
      <c r="E19" s="9" t="s">
        <v>45</v>
      </c>
      <c r="F19" s="12" t="s">
        <v>48</v>
      </c>
    </row>
    <row r="20" spans="1:6" x14ac:dyDescent="0.25">
      <c r="A20" s="8">
        <v>20</v>
      </c>
      <c r="B20" s="9" t="s">
        <v>24</v>
      </c>
      <c r="C20" s="10">
        <v>46233</v>
      </c>
      <c r="D20" s="11">
        <v>7000</v>
      </c>
      <c r="E20" s="9" t="s">
        <v>45</v>
      </c>
      <c r="F20" s="12" t="s">
        <v>48</v>
      </c>
    </row>
    <row r="21" spans="1:6" x14ac:dyDescent="0.25">
      <c r="A21" s="8">
        <v>21</v>
      </c>
      <c r="B21" s="9" t="s">
        <v>25</v>
      </c>
      <c r="C21" s="10">
        <v>46264</v>
      </c>
      <c r="D21" s="11">
        <v>8000</v>
      </c>
      <c r="E21" s="9" t="s">
        <v>45</v>
      </c>
      <c r="F21" s="12" t="s">
        <v>48</v>
      </c>
    </row>
    <row r="22" spans="1:6" x14ac:dyDescent="0.25">
      <c r="A22" s="8">
        <v>22</v>
      </c>
      <c r="B22" s="9" t="s">
        <v>26</v>
      </c>
      <c r="C22" s="10">
        <v>46265</v>
      </c>
      <c r="D22" s="11">
        <v>2000</v>
      </c>
      <c r="E22" s="9" t="s">
        <v>45</v>
      </c>
      <c r="F22" s="12" t="s">
        <v>48</v>
      </c>
    </row>
    <row r="23" spans="1:6" x14ac:dyDescent="0.25">
      <c r="A23" s="8">
        <v>23</v>
      </c>
      <c r="B23" s="9" t="s">
        <v>27</v>
      </c>
      <c r="C23" s="10">
        <v>46265</v>
      </c>
      <c r="D23" s="11">
        <v>15000</v>
      </c>
      <c r="E23" s="9" t="s">
        <v>45</v>
      </c>
      <c r="F23" s="12" t="s">
        <v>48</v>
      </c>
    </row>
    <row r="24" spans="1:6" x14ac:dyDescent="0.25">
      <c r="A24" s="13">
        <v>24</v>
      </c>
      <c r="B24" s="14" t="s">
        <v>28</v>
      </c>
      <c r="C24" s="15">
        <v>46265</v>
      </c>
      <c r="D24" s="16">
        <v>12000</v>
      </c>
      <c r="E24" s="14" t="s">
        <v>45</v>
      </c>
      <c r="F24" s="17" t="s">
        <v>48</v>
      </c>
    </row>
    <row r="25" spans="1:6" x14ac:dyDescent="0.25">
      <c r="A25" s="3">
        <v>25</v>
      </c>
      <c r="B25" s="4" t="s">
        <v>29</v>
      </c>
      <c r="C25" s="5">
        <v>46266</v>
      </c>
      <c r="D25" s="6">
        <v>10000</v>
      </c>
      <c r="E25" s="4" t="s">
        <v>45</v>
      </c>
      <c r="F25" s="7" t="s">
        <v>49</v>
      </c>
    </row>
    <row r="26" spans="1:6" x14ac:dyDescent="0.25">
      <c r="A26" s="8">
        <v>26</v>
      </c>
      <c r="B26" s="9" t="s">
        <v>30</v>
      </c>
      <c r="C26" s="10">
        <v>46267</v>
      </c>
      <c r="D26" s="11">
        <v>10000</v>
      </c>
      <c r="E26" s="9" t="s">
        <v>45</v>
      </c>
      <c r="F26" s="12" t="s">
        <v>49</v>
      </c>
    </row>
    <row r="27" spans="1:6" x14ac:dyDescent="0.25">
      <c r="A27" s="8">
        <v>27</v>
      </c>
      <c r="B27" s="9" t="s">
        <v>31</v>
      </c>
      <c r="C27" s="10">
        <v>46268</v>
      </c>
      <c r="D27" s="11">
        <v>8000</v>
      </c>
      <c r="E27" s="9" t="s">
        <v>45</v>
      </c>
      <c r="F27" s="12" t="s">
        <v>49</v>
      </c>
    </row>
    <row r="28" spans="1:6" x14ac:dyDescent="0.25">
      <c r="A28" s="13">
        <v>28</v>
      </c>
      <c r="B28" s="14" t="s">
        <v>32</v>
      </c>
      <c r="C28" s="15">
        <v>46269</v>
      </c>
      <c r="D28" s="16">
        <v>500</v>
      </c>
      <c r="E28" s="14" t="s">
        <v>45</v>
      </c>
      <c r="F28" s="17" t="s">
        <v>49</v>
      </c>
    </row>
    <row r="29" spans="1:6" x14ac:dyDescent="0.25">
      <c r="A29" s="3">
        <v>29</v>
      </c>
      <c r="B29" s="4" t="s">
        <v>33</v>
      </c>
      <c r="C29" s="5">
        <v>46270</v>
      </c>
      <c r="D29" s="6">
        <v>6000</v>
      </c>
      <c r="E29" s="4" t="s">
        <v>45</v>
      </c>
      <c r="F29" s="7" t="s">
        <v>50</v>
      </c>
    </row>
    <row r="30" spans="1:6" x14ac:dyDescent="0.25">
      <c r="A30" s="8">
        <v>30</v>
      </c>
      <c r="B30" s="9" t="s">
        <v>34</v>
      </c>
      <c r="C30" s="10">
        <v>46271</v>
      </c>
      <c r="D30" s="11">
        <v>10000</v>
      </c>
      <c r="E30" s="9" t="s">
        <v>45</v>
      </c>
      <c r="F30" s="12" t="s">
        <v>50</v>
      </c>
    </row>
    <row r="31" spans="1:6" x14ac:dyDescent="0.25">
      <c r="A31" s="13">
        <v>31</v>
      </c>
      <c r="B31" s="14" t="s">
        <v>35</v>
      </c>
      <c r="C31" s="15">
        <v>46272</v>
      </c>
      <c r="D31" s="16">
        <v>12000</v>
      </c>
      <c r="E31" s="14" t="s">
        <v>45</v>
      </c>
      <c r="F31" s="17" t="s">
        <v>50</v>
      </c>
    </row>
    <row r="32" spans="1:6" x14ac:dyDescent="0.25">
      <c r="A32" s="3">
        <v>32</v>
      </c>
      <c r="B32" s="4" t="s">
        <v>36</v>
      </c>
      <c r="C32" s="5">
        <v>46273</v>
      </c>
      <c r="D32" s="6">
        <v>15000</v>
      </c>
      <c r="E32" s="4" t="s">
        <v>45</v>
      </c>
      <c r="F32" s="7" t="s">
        <v>51</v>
      </c>
    </row>
    <row r="33" spans="1:6" x14ac:dyDescent="0.25">
      <c r="A33" s="8">
        <v>33</v>
      </c>
      <c r="B33" s="9" t="s">
        <v>37</v>
      </c>
      <c r="C33" s="10">
        <v>46274</v>
      </c>
      <c r="D33" s="11">
        <v>10000</v>
      </c>
      <c r="E33" s="9" t="s">
        <v>45</v>
      </c>
      <c r="F33" s="12" t="s">
        <v>51</v>
      </c>
    </row>
    <row r="34" spans="1:6" x14ac:dyDescent="0.25">
      <c r="A34" s="8">
        <v>34</v>
      </c>
      <c r="B34" s="9" t="s">
        <v>38</v>
      </c>
      <c r="C34" s="10">
        <v>46275</v>
      </c>
      <c r="D34" s="11">
        <v>6000</v>
      </c>
      <c r="E34" s="9" t="s">
        <v>45</v>
      </c>
      <c r="F34" s="12" t="s">
        <v>51</v>
      </c>
    </row>
    <row r="35" spans="1:6" x14ac:dyDescent="0.25">
      <c r="A35" s="8">
        <v>35</v>
      </c>
      <c r="B35" s="9" t="s">
        <v>39</v>
      </c>
      <c r="C35" s="10">
        <v>46276</v>
      </c>
      <c r="D35" s="11">
        <v>6000</v>
      </c>
      <c r="E35" s="9" t="s">
        <v>45</v>
      </c>
      <c r="F35" s="12" t="s">
        <v>51</v>
      </c>
    </row>
    <row r="36" spans="1:6" x14ac:dyDescent="0.25">
      <c r="A36" s="8">
        <v>36</v>
      </c>
      <c r="B36" s="9" t="s">
        <v>40</v>
      </c>
      <c r="C36" s="10">
        <v>46277</v>
      </c>
      <c r="D36" s="11">
        <v>5000</v>
      </c>
      <c r="E36" s="9" t="s">
        <v>45</v>
      </c>
      <c r="F36" s="12" t="s">
        <v>51</v>
      </c>
    </row>
    <row r="37" spans="1:6" x14ac:dyDescent="0.25">
      <c r="A37" s="13">
        <v>37</v>
      </c>
      <c r="B37" s="14" t="s">
        <v>41</v>
      </c>
      <c r="C37" s="15">
        <v>46278</v>
      </c>
      <c r="D37" s="16">
        <v>4000</v>
      </c>
      <c r="E37" s="14" t="s">
        <v>45</v>
      </c>
      <c r="F37" s="17" t="s">
        <v>51</v>
      </c>
    </row>
    <row r="38" spans="1:6" x14ac:dyDescent="0.25">
      <c r="A38" s="3">
        <v>38</v>
      </c>
      <c r="B38" s="4" t="s">
        <v>42</v>
      </c>
      <c r="C38" s="5">
        <v>46279</v>
      </c>
      <c r="D38" s="6">
        <v>500</v>
      </c>
      <c r="E38" s="4" t="s">
        <v>45</v>
      </c>
      <c r="F38" s="7" t="s">
        <v>52</v>
      </c>
    </row>
    <row r="39" spans="1:6" x14ac:dyDescent="0.25">
      <c r="A39" s="8">
        <v>39</v>
      </c>
      <c r="B39" s="9" t="s">
        <v>43</v>
      </c>
      <c r="C39" s="10">
        <v>46280</v>
      </c>
      <c r="D39" s="11">
        <v>5000</v>
      </c>
      <c r="E39" s="9" t="s">
        <v>45</v>
      </c>
      <c r="F39" s="12" t="s">
        <v>52</v>
      </c>
    </row>
    <row r="40" spans="1:6" x14ac:dyDescent="0.25">
      <c r="A40" s="8">
        <v>40</v>
      </c>
      <c r="B40" s="9" t="s">
        <v>44</v>
      </c>
      <c r="C40" s="10">
        <v>46281</v>
      </c>
      <c r="D40" s="11">
        <v>3000</v>
      </c>
      <c r="E40" s="9" t="s">
        <v>45</v>
      </c>
      <c r="F40" s="12" t="s">
        <v>52</v>
      </c>
    </row>
    <row r="41" spans="1:6" x14ac:dyDescent="0.25">
      <c r="A41" s="13">
        <v>41</v>
      </c>
      <c r="B41" s="14" t="s">
        <v>56</v>
      </c>
      <c r="C41" s="15">
        <v>46282</v>
      </c>
      <c r="D41" s="16">
        <v>2000</v>
      </c>
      <c r="E41" s="14" t="s">
        <v>45</v>
      </c>
      <c r="F41" s="17" t="s">
        <v>52</v>
      </c>
    </row>
    <row r="42" spans="1:6" x14ac:dyDescent="0.25">
      <c r="D42" s="2"/>
    </row>
    <row r="43" spans="1:6" x14ac:dyDescent="0.25">
      <c r="D43" s="2"/>
    </row>
    <row r="44" spans="1:6" x14ac:dyDescent="0.25">
      <c r="C44" t="s">
        <v>53</v>
      </c>
      <c r="D44" s="2">
        <f>SUM(D2:D43)</f>
        <v>243700</v>
      </c>
    </row>
    <row r="45" spans="1:6" x14ac:dyDescent="0.25">
      <c r="C45" t="s">
        <v>54</v>
      </c>
      <c r="D45" s="18">
        <f>D44*10%</f>
        <v>24370</v>
      </c>
    </row>
    <row r="47" spans="1:6" x14ac:dyDescent="0.25">
      <c r="C47" t="s">
        <v>55</v>
      </c>
      <c r="D47" s="19">
        <f>D44+D45</f>
        <v>268070</v>
      </c>
    </row>
  </sheetData>
  <pageMargins left="0.25" right="0.25" top="0.75" bottom="0.75" header="0.3" footer="0.3"/>
  <pageSetup scale="73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Nope</dc:creator>
  <cp:lastModifiedBy>Andrew Pennington</cp:lastModifiedBy>
  <cp:lastPrinted>2025-10-02T17:39:34Z</cp:lastPrinted>
  <dcterms:created xsi:type="dcterms:W3CDTF">2025-10-02T17:34:35Z</dcterms:created>
  <dcterms:modified xsi:type="dcterms:W3CDTF">2025-10-02T17:52:36Z</dcterms:modified>
</cp:coreProperties>
</file>